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16e8153a5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ordance Summary" sheetId="1" r:id="R2fd2236b06cc4e3a"/>
    <x:sheet xmlns:r="http://schemas.openxmlformats.org/officeDocument/2006/relationships" name="Per-Fixture Metrics" sheetId="2" r:id="R4fa0f84feb3145f4"/>
    <x:sheet xmlns:r="http://schemas.openxmlformats.org/officeDocument/2006/relationships" name="Definitions" sheetId="3" r:id="Rb1f6ed285be9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3636D"/>
      <x:name val="Carlito"/>
    </x:font>
    <x:font>
      <x:b/>
      <x:sz val="11"/>
      <x:color rgb="FF163A5F"/>
      <x:name val="Carlito"/>
    </x:font>
    <x:font>
      <x:b/>
      <x:sz val="11"/>
      <x:color rgb="FF35515E"/>
      <x:name val="Carlito"/>
    </x:font>
    <x:font>
      <x:b/>
      <x:sz val="18"/>
      <x:color rgb="FF173C4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E5F4ED"/>
      </x:patternFill>
    </x:fill>
    <x:fill>
      <x:patternFill patternType="solid">
        <x:fgColor rgb="FFE8F2FA"/>
      </x:patternFill>
    </x:fill>
    <x:fill>
      <x:patternFill patternType="solid">
        <x:fgColor rgb="FFEEF2F4"/>
      </x:patternFill>
    </x:fill>
  </x:fills>
  <x:borders count="22">
    <x:border/>
    <x:border>
      <x:left style="thin">
        <x:color rgb="FF9FB3C3"/>
      </x:left>
      <x:top style="thin">
        <x:color rgb="FF9FB3C3"/>
      </x:top>
      <x:bottom style="thin">
        <x:color rgb="FF9FB3C3"/>
      </x:bottom>
    </x:border>
    <x:border>
      <x:top style="thin">
        <x:color rgb="FF9FB3C3"/>
      </x:top>
      <x:bottom style="thin">
        <x:color rgb="FF9FB3C3"/>
      </x:bottom>
    </x:border>
    <x:border>
      <x:right style="thin">
        <x:color rgb="FF9FB3C3"/>
      </x:right>
      <x:top style="thin">
        <x:color rgb="FF9FB3C3"/>
      </x:top>
      <x:bottom style="thin">
        <x:color rgb="FF9FB3C3"/>
      </x:bottom>
    </x:border>
    <x:border>
      <x:left style="thin">
        <x:color rgb="FF9FB3C3"/>
      </x:left>
      <x:top style="thin">
        <x:color rgb="FF9FB3C3"/>
      </x:top>
      <x:bottom style="thin">
        <x:color rgb="FFE1E7EB"/>
      </x:bottom>
    </x:border>
    <x:border>
      <x:top style="thin">
        <x:color rgb="FF9FB3C3"/>
      </x:top>
      <x:bottom style="thin">
        <x:color rgb="FFE1E7EB"/>
      </x:bottom>
    </x:border>
    <x:border>
      <x:left style="thin">
        <x:color rgb="FF9FB3C3"/>
      </x:left>
      <x:top style="thin">
        <x:color rgb="FFE1E7EB"/>
      </x:top>
      <x:bottom style="thin">
        <x:color rgb="FFE1E7EB"/>
      </x:bottom>
    </x:border>
    <x:border>
      <x:top style="thin">
        <x:color rgb="FFE1E7EB"/>
      </x:top>
      <x:bottom style="thin">
        <x:color rgb="FFE1E7EB"/>
      </x:bottom>
    </x:border>
    <x:border>
      <x:left style="thin">
        <x:color rgb="FF9FB3C3"/>
      </x:left>
      <x:top style="thin">
        <x:color rgb="FFE1E7EB"/>
      </x:top>
      <x:bottom style="thin">
        <x:color rgb="FF9FB3C3"/>
      </x:bottom>
    </x:border>
    <x:border>
      <x:top style="thin">
        <x:color rgb="FFE1E7EB"/>
      </x:top>
      <x:bottom style="thin">
        <x:color rgb="FF9FB3C3"/>
      </x:bottom>
    </x:border>
    <x:border>
      <x:left style="thin">
        <x:color rgb="FFB9CBD6"/>
      </x:left>
      <x:top style="thin">
        <x:color rgb="FFB9CBD6"/>
      </x:top>
    </x:border>
    <x:border>
      <x:top style="thin">
        <x:color rgb="FFB9CBD6"/>
      </x:top>
    </x:border>
    <x:border>
      <x:right style="thin">
        <x:color rgb="FFB9CBD6"/>
      </x:right>
      <x:top style="thin">
        <x:color rgb="FFB9CBD6"/>
      </x:top>
    </x:border>
    <x:border>
      <x:left style="thin">
        <x:color rgb="FFB9CBD6"/>
      </x:left>
      <x:bottom style="thin">
        <x:color rgb="FFB9CBD6"/>
      </x:bottom>
    </x:border>
    <x:border>
      <x:bottom style="thin">
        <x:color rgb="FFB9CBD6"/>
      </x:bottom>
    </x:border>
    <x:border>
      <x:right style="thin">
        <x:color rgb="FFB9CBD6"/>
      </x:right>
      <x:bottom style="thin">
        <x:color rgb="FFB9CBD6"/>
      </x:bottom>
    </x:border>
    <x:border>
      <x:left style="thin">
        <x:color rgb="FF9FB3C3"/>
      </x:left>
      <x:top style="thin">
        <x:color rgb="FF9FB3C3"/>
      </x:top>
      <x:bottom style="thin">
        <x:color rgb="FFD5DDE3"/>
      </x:bottom>
    </x:border>
    <x:border>
      <x:top style="thin">
        <x:color rgb="FF9FB3C3"/>
      </x:top>
      <x:bottom style="thin">
        <x:color rgb="FFD5DDE3"/>
      </x:bottom>
    </x:border>
    <x:border>
      <x:left style="thin">
        <x:color rgb="FF9FB3C3"/>
      </x:left>
      <x:top style="thin">
        <x:color rgb="FFD5DDE3"/>
      </x:top>
      <x:bottom style="thin">
        <x:color rgb="FFD5DDE3"/>
      </x:bottom>
    </x:border>
    <x:border>
      <x:top style="thin">
        <x:color rgb="FFD5DDE3"/>
      </x:top>
      <x:bottom style="thin">
        <x:color rgb="FFD5DDE3"/>
      </x:bottom>
    </x:border>
    <x:border>
      <x:left style="thin">
        <x:color rgb="FF9FB3C3"/>
      </x:left>
      <x:top style="thin">
        <x:color rgb="FFD5DDE3"/>
      </x:top>
      <x:bottom style="thin">
        <x:color rgb="FF9FB3C3"/>
      </x:bottom>
    </x:border>
    <x:border>
      <x:top style="thin">
        <x:color rgb="FFD5DDE3"/>
      </x:top>
      <x:bottom style="thin">
        <x:color rgb="FF9FB3C3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horizontal="right" vertical="center"/>
    </x:xf>
    <x:xf numFmtId="201" fontId="0" fillId="0" borderId="7" xfId="0" applyNumberFormat="1" applyFont="1" applyFill="1" applyBorder="1" applyAlignment="1">
      <x:alignment horizontal="right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horizontal="right" vertical="center"/>
    </x:xf>
    <x:xf numFmtId="201" fontId="0" fillId="0" borderId="9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200" fontId="5" fillId="4" borderId="10" xfId="0" applyNumberFormat="1" applyFont="1" applyFill="1" applyBorder="1"/>
    <x:xf numFmtId="200" fontId="5" fillId="4" borderId="11" xfId="0" applyNumberFormat="1" applyFont="1" applyFill="1" applyBorder="1"/>
    <x:xf numFmtId="200" fontId="5" fillId="4" borderId="12" xfId="0" applyNumberFormat="1" applyFont="1" applyFill="1" applyBorder="1"/>
    <x:xf numFmtId="200" fontId="5" fillId="4" borderId="13" xfId="0" applyNumberFormat="1" applyFont="1" applyFill="1" applyBorder="1"/>
    <x:xf numFmtId="200" fontId="5" fillId="4" borderId="14" xfId="0" applyNumberFormat="1" applyFont="1" applyFill="1" applyBorder="1"/>
    <x:xf numFmtId="200" fontId="5" fillId="4" borderId="15" xfId="0" applyNumberFormat="1" applyFont="1" applyFill="1" applyBorder="1"/>
    <x:xf numFmtId="200" fontId="5" fillId="4" borderId="10" xfId="0" applyNumberFormat="1" applyFont="1" applyFill="1" applyBorder="1" applyAlignment="1">
      <x:alignment horizontal="center"/>
    </x:xf>
    <x:xf numFmtId="200" fontId="5" fillId="4" borderId="11" xfId="0" applyNumberFormat="1" applyFont="1" applyFill="1" applyBorder="1" applyAlignment="1">
      <x:alignment horizontal="center"/>
    </x:xf>
    <x:xf numFmtId="200" fontId="5" fillId="4" borderId="12" xfId="0" applyNumberFormat="1" applyFont="1" applyFill="1" applyBorder="1" applyAlignment="1">
      <x:alignment horizontal="center"/>
    </x:xf>
    <x:xf numFmtId="200" fontId="5" fillId="4" borderId="13" xfId="0" applyNumberFormat="1" applyFont="1" applyFill="1" applyBorder="1" applyAlignment="1">
      <x:alignment horizontal="center"/>
    </x:xf>
    <x:xf numFmtId="200" fontId="5" fillId="4" borderId="14" xfId="0" applyNumberFormat="1" applyFont="1" applyFill="1" applyBorder="1" applyAlignment="1">
      <x:alignment horizontal="center"/>
    </x:xf>
    <x:xf numFmtId="200" fontId="5" fillId="4" borderId="15" xfId="0" applyNumberFormat="1" applyFont="1" applyFill="1" applyBorder="1" applyAlignment="1">
      <x:alignment horizontal="center"/>
    </x:xf>
    <x:xf numFmtId="200" fontId="5" fillId="4" borderId="10" xfId="0" applyNumberFormat="1" applyFont="1" applyFill="1" applyBorder="1" applyAlignment="1">
      <x:alignment horizontal="center" vertical="center"/>
    </x:xf>
    <x:xf numFmtId="200" fontId="5" fillId="4" borderId="11" xfId="0" applyNumberFormat="1" applyFont="1" applyFill="1" applyBorder="1" applyAlignment="1">
      <x:alignment horizontal="center" vertical="center"/>
    </x:xf>
    <x:xf numFmtId="200" fontId="5" fillId="4" borderId="12" xfId="0" applyNumberFormat="1" applyFont="1" applyFill="1" applyBorder="1" applyAlignment="1">
      <x:alignment horizontal="center" vertical="center"/>
    </x:xf>
    <x:xf numFmtId="200" fontId="5" fillId="4" borderId="13" xfId="0" applyNumberFormat="1" applyFont="1" applyFill="1" applyBorder="1" applyAlignment="1">
      <x:alignment horizontal="center" vertical="center"/>
    </x:xf>
    <x:xf numFmtId="200" fontId="5" fillId="4" borderId="14" xfId="0" applyNumberFormat="1" applyFont="1" applyFill="1" applyBorder="1" applyAlignment="1">
      <x:alignment horizontal="center" vertical="center"/>
    </x:xf>
    <x:xf numFmtId="200" fontId="5" fillId="4" borderId="1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201" fontId="5" fillId="5" borderId="10" xfId="0" applyNumberFormat="1" applyFont="1" applyFill="1" applyBorder="1"/>
    <x:xf numFmtId="201" fontId="5" fillId="5" borderId="11" xfId="0" applyNumberFormat="1" applyFont="1" applyFill="1" applyBorder="1"/>
    <x:xf numFmtId="201" fontId="5" fillId="5" borderId="12" xfId="0" applyNumberFormat="1" applyFont="1" applyFill="1" applyBorder="1"/>
    <x:xf numFmtId="201" fontId="5" fillId="5" borderId="13" xfId="0" applyNumberFormat="1" applyFont="1" applyFill="1" applyBorder="1"/>
    <x:xf numFmtId="201" fontId="5" fillId="5" borderId="14" xfId="0" applyNumberFormat="1" applyFont="1" applyFill="1" applyBorder="1"/>
    <x:xf numFmtId="201" fontId="5" fillId="5" borderId="15" xfId="0" applyNumberFormat="1" applyFont="1" applyFill="1" applyBorder="1"/>
    <x:xf numFmtId="201" fontId="5" fillId="5" borderId="10" xfId="0" applyNumberFormat="1" applyFont="1" applyFill="1" applyBorder="1" applyAlignment="1">
      <x:alignment horizontal="center"/>
    </x:xf>
    <x:xf numFmtId="201" fontId="5" fillId="5" borderId="11" xfId="0" applyNumberFormat="1" applyFont="1" applyFill="1" applyBorder="1" applyAlignment="1">
      <x:alignment horizontal="center"/>
    </x:xf>
    <x:xf numFmtId="201" fontId="5" fillId="5" borderId="12" xfId="0" applyNumberFormat="1" applyFont="1" applyFill="1" applyBorder="1" applyAlignment="1">
      <x:alignment horizontal="center"/>
    </x:xf>
    <x:xf numFmtId="201" fontId="5" fillId="5" borderId="13" xfId="0" applyNumberFormat="1" applyFont="1" applyFill="1" applyBorder="1" applyAlignment="1">
      <x:alignment horizontal="center"/>
    </x:xf>
    <x:xf numFmtId="201" fontId="5" fillId="5" borderId="14" xfId="0" applyNumberFormat="1" applyFont="1" applyFill="1" applyBorder="1" applyAlignment="1">
      <x:alignment horizontal="center"/>
    </x:xf>
    <x:xf numFmtId="201" fontId="5" fillId="5" borderId="15" xfId="0" applyNumberFormat="1" applyFont="1" applyFill="1" applyBorder="1" applyAlignment="1">
      <x:alignment horizontal="center"/>
    </x:xf>
    <x:xf numFmtId="201" fontId="5" fillId="5" borderId="10" xfId="0" applyNumberFormat="1" applyFont="1" applyFill="1" applyBorder="1" applyAlignment="1">
      <x:alignment horizontal="center" vertical="center"/>
    </x:xf>
    <x:xf numFmtId="201" fontId="5" fillId="5" borderId="11" xfId="0" applyNumberFormat="1" applyFont="1" applyFill="1" applyBorder="1" applyAlignment="1">
      <x:alignment horizontal="center" vertical="center"/>
    </x:xf>
    <x:xf numFmtId="201" fontId="5" fillId="5" borderId="12" xfId="0" applyNumberFormat="1" applyFont="1" applyFill="1" applyBorder="1" applyAlignment="1">
      <x:alignment horizontal="center" vertical="center"/>
    </x:xf>
    <x:xf numFmtId="201" fontId="5" fillId="5" borderId="13" xfId="0" applyNumberFormat="1" applyFont="1" applyFill="1" applyBorder="1" applyAlignment="1">
      <x:alignment horizontal="center" vertical="center"/>
    </x:xf>
    <x:xf numFmtId="201" fontId="5" fillId="5" borderId="14" xfId="0" applyNumberFormat="1" applyFont="1" applyFill="1" applyBorder="1" applyAlignment="1">
      <x:alignment horizontal="center" vertical="center"/>
    </x:xf>
    <x:xf numFmtId="201" fontId="5" fillId="5" borderId="1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e8ab4272d46dc" /><Relationship Type="http://schemas.openxmlformats.org/officeDocument/2006/relationships/theme" Target="/xl/theme/theme1.xml" Id="R8d30a228d8624a5c" /><Relationship Type="http://schemas.openxmlformats.org/officeDocument/2006/relationships/sharedStrings" Target="/xl/sharedStrings.xml" Id="R34f2836d9d1b4c5f" /><Relationship Type="http://schemas.openxmlformats.org/officeDocument/2006/relationships/worksheet" Target="/xl/worksheets/sheet1.xml" Id="R2fd2236b06cc4e3a" /><Relationship Type="http://schemas.openxmlformats.org/officeDocument/2006/relationships/worksheet" Target="/xl/worksheets/sheet2.xml" Id="R4fa0f84feb3145f4" /><Relationship Type="http://schemas.openxmlformats.org/officeDocument/2006/relationships/worksheet" Target="/xl/worksheets/sheet3.xml" Id="Rb1f6ed285be9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1.75" hidden="0" customWidth="1"/>
    <x:col min="3" max="3" width="11.75" hidden="0" customWidth="1"/>
    <x:col min="4" max="4" width="38.75" hidden="0" customWidth="1"/>
    <x:col min="5" max="5" width="11.75" hidden="0" customWidth="1"/>
    <x:col min="6" max="6" width="11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40" hidden="0" customWidth="1"/>
  </x:cols>
  <x:sheetData>
    <x:row r="1" ht="19.200000762939453" hidden="0" customHeight="1">
      <x:c r="A1" s="4" t="str">
        <x:v>Supplementary Table 3 — Quantitative concordance summary</x:v>
      </x:c>
      <x:c r="B1" s="4" t="str">
        <x:v>Supplementary Table 3 — Quantitative concordance summary</x:v>
      </x:c>
      <x:c r="C1" s="4" t="str">
        <x:v>Supplementary Table 3 — Quantitative concordance summary</x:v>
      </x:c>
      <x:c r="D1" s="4" t="str">
        <x:v>Supplementary Table 3 — Quantitative concordance summary</x:v>
      </x:c>
      <x:c r="E1" s="4" t="str">
        <x:v>Supplementary Table 3 — Quantitative concordance summary</x:v>
      </x:c>
      <x:c r="F1" s="4" t="str">
        <x:v>Supplementary Table 3 — Quantitative concordance summary</x:v>
      </x:c>
      <x:c r="G1" s="4" t="str">
        <x:v>Supplementary Table 3 — Quantitative concordance summary</x:v>
      </x:c>
      <x:c r="H1" s="4" t="str">
        <x:v>Supplementary Table 3 — Quantitative concordance summary</x:v>
      </x:c>
      <x:c r="I1" s="4" t="str">
        <x:v>Supplementary Table 3 — Quantitative concordance summary</x:v>
      </x:c>
      <x:c r="J1" s="4" t="str">
        <x:v>Supplementary Table 3 — Quantitative concordance summary</x:v>
      </x:c>
      <x:c r="K1" s="4" t="str">
        <x:v>Supplementary Table 3 — Quantitative concordance summary</x:v>
      </x:c>
      <x:c r="L1" s="4" t="str">
        <x:v>Supplementary Table 3 — Quantitative concordance summary</x:v>
      </x:c>
      <x:c r="M1" s="4" t="str">
        <x:v>Supplementary Table 3 — Quantitative concordance summary</x:v>
      </x:c>
    </x:row>
    <x:row r="2" ht="15" hidden="0" customHeight="1">
      <x:c r="A2" s="6" t="str">
        <x:v>GRCh37 historical technical benchmark · 12 caller/file-route/genome-build fixtures · not patient samples</x:v>
      </x:c>
    </x:row>
    <x:row r="3"/>
    <x:row r="4" ht="15" hidden="0" customHeight="1">
      <x:c r="A4" s="39" t="str">
        <x:v>Concordant</x:v>
      </x:c>
      <x:c r="B4" s="39" t="str">
        <x:v>Concordant</x:v>
      </x:c>
      <x:c r="C4" s="39" t="str">
        <x:v>Concordant</x:v>
      </x:c>
      <x:c r="D4" s="68" t="str">
        <x:v>Sensitivity</x:v>
      </x:c>
      <x:c r="E4" s="68" t="str">
        <x:v>Sensitivity</x:v>
      </x:c>
      <x:c r="F4" s="68" t="str">
        <x:v>Sensitivity</x:v>
      </x:c>
      <x:c r="G4" s="68" t="str">
        <x:v>Positive predictive value</x:v>
      </x:c>
      <x:c r="H4" s="68" t="str">
        <x:v>Positive predictive value</x:v>
      </x:c>
      <x:c r="I4" s="68" t="str">
        <x:v>Positive predictive value</x:v>
      </x:c>
      <x:c r="J4" s="68" t="str">
        <x:v>Jaccard agreement</x:v>
      </x:c>
      <x:c r="K4" s="68" t="str">
        <x:v>Jaccard agreement</x:v>
      </x:c>
      <x:c r="L4" s="68" t="str">
        <x:v>Jaccard agreement</x:v>
      </x:c>
      <x:c r="M4" s="68" t="str">
        <x:v>Jaccard agreement</x:v>
      </x:c>
    </x:row>
    <x:row r="5">
      <x:c r="A5" s="59" t="n">
        <x:f>'Per-Fixture Metrics'!G18</x:f>
        <x:v>2095</x:v>
      </x:c>
      <x:c r="B5" s="60"/>
      <x:c r="C5" s="61"/>
      <x:c r="D5" s="88" t="n">
        <x:f>'Per-Fixture Metrics'!J18</x:f>
        <x:v>0.9748720335039553</x:v>
      </x:c>
      <x:c r="E5" s="89"/>
      <x:c r="F5" s="90"/>
      <x:c r="G5" s="88" t="n">
        <x:f>'Per-Fixture Metrics'!K18</x:f>
        <x:v>0.9938330170777988</x:v>
      </x:c>
      <x:c r="H5" s="89"/>
      <x:c r="I5" s="90"/>
      <x:c r="J5" s="88" t="n">
        <x:f>'Per-Fixture Metrics'!L18</x:f>
        <x:v>0.9690101757631823</x:v>
      </x:c>
      <x:c r="K5" s="89"/>
      <x:c r="L5" s="89"/>
      <x:c r="M5" s="90"/>
    </x:row>
    <x:row r="6">
      <x:c r="A6" s="62"/>
      <x:c r="B6" s="63"/>
      <x:c r="C6" s="64"/>
      <x:c r="D6" s="91"/>
      <x:c r="E6" s="92"/>
      <x:c r="F6" s="93"/>
      <x:c r="G6" s="91"/>
      <x:c r="H6" s="92"/>
      <x:c r="I6" s="93"/>
      <x:c r="J6" s="91"/>
      <x:c r="K6" s="92"/>
      <x:c r="L6" s="92"/>
      <x:c r="M6" s="93"/>
    </x:row>
    <x:row r="7"/>
    <x:row r="8" ht="26.399999618530273" hidden="0" customHeight="1">
      <x:c r="A8" s="98" t="str">
        <x:v>Analysis set</x:v>
      </x:c>
      <x:c r="B8" s="99" t="str">
        <x:v>Direct unique</x:v>
      </x:c>
      <x:c r="C8" s="99" t="str">
        <x:v>Report unique</x:v>
      </x:c>
      <x:c r="D8" s="99" t="str">
        <x:v>Concordant</x:v>
      </x:c>
      <x:c r="E8" s="99" t="str">
        <x:v>Direct only</x:v>
      </x:c>
      <x:c r="F8" s="99" t="str">
        <x:v>Report only</x:v>
      </x:c>
      <x:c r="G8" s="99" t="str">
        <x:v>Sensitivity</x:v>
      </x:c>
      <x:c r="H8" s="99" t="str">
        <x:v>PPV</x:v>
      </x:c>
      <x:c r="I8" s="99" t="str">
        <x:v>Jaccard</x:v>
      </x:c>
      <x:c r="J8" s="99" t="str">
        <x:v>F1</x:v>
      </x:c>
      <x:c r="K8" s="99" t="str">
        <x:v>Direct source rows</x:v>
      </x:c>
      <x:c r="L8" s="99" t="str">
        <x:v>No HGVS</x:v>
      </x:c>
      <x:c r="M8" s="99" t="str">
        <x:v>Interpretation</x:v>
      </x:c>
    </x:row>
    <x:row r="9" ht="39.599998474121094" hidden="0" customHeight="1">
      <x:c r="A9" s="100" t="str">
        <x:v>All-input variants</x:v>
      </x:c>
      <x:c r="B9" s="101" t="n">
        <x:f>'Per-Fixture Metrics'!E5</x:f>
        <x:v>2624</x:v>
      </x:c>
      <x:c r="C9" s="101" t="n">
        <x:f>'Per-Fixture Metrics'!F5</x:f>
        <x:v>2108</x:v>
      </x:c>
      <x:c r="D9" s="101" t="n">
        <x:f>'Per-Fixture Metrics'!G5</x:f>
        <x:v>2095</x:v>
      </x:c>
      <x:c r="E9" s="101" t="n">
        <x:f>'Per-Fixture Metrics'!H5</x:f>
        <x:v>529</x:v>
      </x:c>
      <x:c r="F9" s="101" t="n">
        <x:f>'Per-Fixture Metrics'!I5</x:f>
        <x:v>13</x:v>
      </x:c>
      <x:c r="G9" s="102" t="n">
        <x:f>'Per-Fixture Metrics'!J5</x:f>
        <x:v>0.7983993902439024</x:v>
      </x:c>
      <x:c r="H9" s="102" t="n">
        <x:f>'Per-Fixture Metrics'!K5</x:f>
        <x:v>0.9938330170777988</x:v>
      </x:c>
      <x:c r="I9" s="102" t="n">
        <x:f>'Per-Fixture Metrics'!L5</x:f>
        <x:v>0.7944634053849071</x:v>
      </x:c>
      <x:c r="J9" s="102" t="n">
        <x:f>'Per-Fixture Metrics'!M5</x:f>
        <x:v>0.8854606931530008</x:v>
      </x:c>
      <x:c r="K9" s="101" t="n">
        <x:f>2625</x:f>
        <x:v>2625</x:v>
      </x:c>
      <x:c r="L9" s="101" t="n">
        <x:f>475</x:f>
        <x:v>475</x:v>
      </x:c>
      <x:c r="M9" s="103" t="str">
        <x:v>Describes all unique direct-route variants; lower recovery is expected because 475 records lacked HGVS input.</x:v>
      </x:c>
    </x:row>
    <x:row r="10" ht="26.399999618530273" hidden="0" customHeight="1">
      <x:c r="A10" s="104" t="str">
        <x:v>HGVS-evaluable subset</x:v>
      </x:c>
      <x:c r="B10" s="105" t="n">
        <x:f>'Per-Fixture Metrics'!E18</x:f>
        <x:v>2149</x:v>
      </x:c>
      <x:c r="C10" s="105" t="n">
        <x:f>'Per-Fixture Metrics'!F18</x:f>
        <x:v>2108</x:v>
      </x:c>
      <x:c r="D10" s="105" t="n">
        <x:f>'Per-Fixture Metrics'!G18</x:f>
        <x:v>2095</x:v>
      </x:c>
      <x:c r="E10" s="105" t="n">
        <x:f>'Per-Fixture Metrics'!H18</x:f>
        <x:v>54</x:v>
      </x:c>
      <x:c r="F10" s="105" t="n">
        <x:f>'Per-Fixture Metrics'!I18</x:f>
        <x:v>13</x:v>
      </x:c>
      <x:c r="G10" s="106" t="n">
        <x:f>'Per-Fixture Metrics'!J18</x:f>
        <x:v>0.9748720335039553</x:v>
      </x:c>
      <x:c r="H10" s="106" t="n">
        <x:f>'Per-Fixture Metrics'!K18</x:f>
        <x:v>0.9938330170777988</x:v>
      </x:c>
      <x:c r="I10" s="106" t="n">
        <x:f>'Per-Fixture Metrics'!L18</x:f>
        <x:v>0.9690101757631823</x:v>
      </x:c>
      <x:c r="J10" s="106" t="n">
        <x:f>'Per-Fixture Metrics'!M18</x:f>
        <x:v>0.9842612168193563</x:v>
      </x:c>
      <x:c r="K10" s="105" t="n">
        <x:f>2625</x:f>
        <x:v>2625</x:v>
      </x:c>
      <x:c r="L10" s="105" t="n">
        <x:f>475</x:f>
        <x:v>475</x:v>
      </x:c>
      <x:c r="M10" s="107" t="str">
        <x:v>Pre-specified reconstructable subset used for cross-route performance reporting.</x:v>
      </x:c>
    </x:row>
    <x:row r="11"/>
    <x:row r="12" ht="15" hidden="0" customHeight="1">
      <x:c r="A12" s="109" t="str">
        <x:v>Discordance decomposition and normalization audit</x:v>
      </x:c>
    </x:row>
    <x:row r="13" ht="15" hidden="0" customHeight="1">
      <x:c r="A13" s="26" t="str">
        <x:v>Audit item</x:v>
      </x:c>
      <x:c r="B13" s="27" t="str">
        <x:v>Count</x:v>
      </x:c>
      <x:c r="C13" s="27" t="str">
        <x:v>Unit</x:v>
      </x:c>
      <x:c r="D13" s="27" t="str">
        <x:v>Interpretation</x:v>
      </x:c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 ht="15" hidden="0" customHeight="1">
      <x:c r="A14" s="28" t="str">
        <x:v>Direct source MAF rows</x:v>
      </x:c>
      <x:c r="B14" s="110" t="n">
        <x:v>2625</x:v>
      </x:c>
      <x:c r="C14" s="29" t="str">
        <x:v>rows</x:v>
      </x:c>
      <x:c r="D14" s="29" t="str">
        <x:v>Rows before combined-alternate expansion</x:v>
      </x:c>
      <x:c r="E14" s="29"/>
      <x:c r="F14" s="29"/>
      <x:c r="G14" s="29"/>
      <x:c r="H14" s="29"/>
      <x:c r="I14" s="29"/>
      <x:c r="J14" s="29"/>
      <x:c r="K14" s="29"/>
      <x:c r="L14" s="29"/>
      <x:c r="M14" s="29"/>
    </x:row>
    <x:row r="15" ht="15" hidden="0" customHeight="1">
      <x:c r="A15" s="28" t="str">
        <x:v>Multiallelic source rows split</x:v>
      </x:c>
      <x:c r="B15" s="110" t="n">
        <x:v>1</x:v>
      </x:c>
      <x:c r="C15" s="29" t="str">
        <x:v>rows</x:v>
      </x:c>
      <x:c r="D15" s="29" t="str">
        <x:v>One A/T-style combined ALT field was decomposed</x:v>
      </x:c>
      <x:c r="E15" s="29"/>
      <x:c r="F15" s="29"/>
      <x:c r="G15" s="29"/>
      <x:c r="H15" s="29"/>
      <x:c r="I15" s="29"/>
      <x:c r="J15" s="29"/>
      <x:c r="K15" s="29"/>
      <x:c r="L15" s="29"/>
      <x:c r="M15" s="29"/>
    </x:row>
    <x:row r="16" ht="26.399999618530273" hidden="0" customHeight="1">
      <x:c r="A16" s="28" t="str">
        <x:v>Allele records before normalization</x:v>
      </x:c>
      <x:c r="B16" s="110" t="n">
        <x:v>2626</x:v>
      </x:c>
      <x:c r="C16" s="29" t="str">
        <x:v>alleles</x:v>
      </x:c>
      <x:c r="D16" s="29" t="str">
        <x:v>One row expanded to a second allele</x:v>
      </x:c>
      <x:c r="E16" s="29"/>
      <x:c r="F16" s="29"/>
      <x:c r="G16" s="29"/>
      <x:c r="H16" s="29"/>
      <x:c r="I16" s="29"/>
      <x:c r="J16" s="29"/>
      <x:c r="K16" s="29"/>
      <x:c r="L16" s="29"/>
      <x:c r="M16" s="29"/>
    </x:row>
    <x:row r="17" ht="15" hidden="0" customHeight="1">
      <x:c r="A17" s="28" t="str">
        <x:v>Unresolved HGVS mappings</x:v>
      </x:c>
      <x:c r="B17" s="110" t="n">
        <x:v>40</x:v>
      </x:c>
      <x:c r="C17" s="29" t="str">
        <x:v>variants</x:v>
      </x:c>
      <x:c r="D17" s="29" t="str">
        <x:v>39 reference-validation failures plus one spreadsheet-date gene symbol</x:v>
      </x:c>
      <x:c r="E17" s="29"/>
      <x:c r="F17" s="29"/>
      <x:c r="G17" s="29"/>
      <x:c r="H17" s="29"/>
      <x:c r="I17" s="29"/>
      <x:c r="J17" s="29"/>
      <x:c r="K17" s="29"/>
      <x:c r="L17" s="29"/>
      <x:c r="M17" s="29"/>
    </x:row>
    <x:row r="18" ht="15" hidden="0" customHeight="1">
      <x:c r="A18" s="28" t="str">
        <x:v>Alternative-locus pairs</x:v>
      </x:c>
      <x:c r="B18" s="110" t="n">
        <x:v>13</x:v>
      </x:c>
      <x:c r="C18" s="29" t="str">
        <x:v>pairs</x:v>
      </x:c>
      <x:c r="D18" s="29" t="str">
        <x:v>Gene-symbol HGVS without transcript accession/version</x:v>
      </x:c>
      <x:c r="E18" s="29"/>
      <x:c r="F18" s="29"/>
      <x:c r="G18" s="29"/>
      <x:c r="H18" s="29"/>
      <x:c r="I18" s="29"/>
      <x:c r="J18" s="29"/>
      <x:c r="K18" s="29"/>
      <x:c r="L18" s="29"/>
      <x:c r="M18" s="29"/>
    </x:row>
    <x:row r="19" ht="26.399999618530273" hidden="0" customHeight="1">
      <x:c r="A19" s="28" t="str">
        <x:v>Additional multiallelic direct-only allele</x:v>
      </x:c>
      <x:c r="B19" s="110" t="n">
        <x:v>1</x:v>
      </x:c>
      <x:c r="C19" s="29" t="str">
        <x:v>allele</x:v>
      </x:c>
      <x:c r="D19" s="29" t="str">
        <x:v>Second allele not represented by the HGVS route</x:v>
      </x:c>
      <x:c r="E19" s="29"/>
      <x:c r="F19" s="29"/>
      <x:c r="G19" s="29"/>
      <x:c r="H19" s="29"/>
      <x:c r="I19" s="29"/>
      <x:c r="J19" s="29"/>
      <x:c r="K19" s="29"/>
      <x:c r="L19" s="29"/>
      <x:c r="M19" s="29"/>
    </x:row>
    <x:row r="20" ht="15" hidden="0" customHeight="1">
      <x:c r="A20" s="32" t="str">
        <x:v>True negatives</x:v>
      </x:c>
      <x:c r="B20" s="111"/>
      <x:c r="C20" s="33" t="str">
        <x:v>not defined</x:v>
      </x:c>
      <x:c r="D20" s="33" t="str">
        <x:v>Variant-list comparison has no enumerated negative universe</x:v>
      </x:c>
      <x:c r="E20" s="33"/>
      <x:c r="F20" s="33"/>
      <x:c r="G20" s="33"/>
      <x:c r="H20" s="33"/>
      <x:c r="I20" s="33"/>
      <x:c r="J20" s="33"/>
      <x:c r="K20" s="33"/>
      <x:c r="L20" s="33"/>
      <x:c r="M20" s="33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M4"/>
    <x:mergeCell ref="J5:M6"/>
    <x:mergeCell ref="A12:M12"/>
    <x:mergeCell ref="D13:M13"/>
    <x:mergeCell ref="D14:M14"/>
    <x:mergeCell ref="D15:M15"/>
    <x:mergeCell ref="D16:M16"/>
    <x:mergeCell ref="D17:M17"/>
    <x:mergeCell ref="D18:M18"/>
    <x:mergeCell ref="D19:M19"/>
    <x:mergeCell ref="D20:M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130000114440918" hidden="0" customWidth="1"/>
    <x:col min="3" max="3" width="18.1299991607666" hidden="0" customWidth="1"/>
    <x:col min="4" max="4" width="35.6300010681152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</x:cols>
  <x:sheetData>
    <x:row r="1" ht="25.5" customHeight="1">
      <x:c r="A1" s="4" t="str">
        <x:v>Supplementary Table 3 — Cross-route concordance by technical fixture</x:v>
      </x:c>
      <x:c r="B1" s="4" t="str">
        <x:v>Supplementary Table 3 — Cross-route concordance by technical fixture</x:v>
      </x:c>
      <x:c r="C1" s="4" t="str">
        <x:v>Supplementary Table 3 — Cross-route concordance by technical fixture</x:v>
      </x:c>
      <x:c r="D1" s="4" t="str">
        <x:v>Supplementary Table 3 — Cross-route concordance by technical fixture</x:v>
      </x:c>
      <x:c r="E1" s="4" t="str">
        <x:v>Supplementary Table 3 — Cross-route concordance by technical fixture</x:v>
      </x:c>
      <x:c r="F1" s="4" t="str">
        <x:v>Supplementary Table 3 — Cross-route concordance by technical fixture</x:v>
      </x:c>
      <x:c r="G1" s="4" t="str">
        <x:v>Supplementary Table 3 — Cross-route concordance by technical fixture</x:v>
      </x:c>
      <x:c r="H1" s="4" t="str">
        <x:v>Supplementary Table 3 — Cross-route concordance by technical fixture</x:v>
      </x:c>
      <x:c r="I1" s="4" t="str">
        <x:v>Supplementary Table 3 — Cross-route concordance by technical fixture</x:v>
      </x:c>
      <x:c r="J1" s="4" t="str">
        <x:v>Supplementary Table 3 — Cross-route concordance by technical fixture</x:v>
      </x:c>
      <x:c r="K1" s="4" t="str">
        <x:v>Supplementary Table 3 — Cross-route concordance by technical fixture</x:v>
      </x:c>
      <x:c r="L1" s="4" t="str">
        <x:v>Supplementary Table 3 — Cross-route concordance by technical fixture</x:v>
      </x:c>
      <x:c r="M1" s="4" t="str">
        <x:v>Supplementary Table 3 — Cross-route concordance by technical fixture</x:v>
      </x:c>
    </x:row>
    <x:row r="2">
      <x:c r="A2" s="6" t="str">
        <x:v>Counts are source observations; agreement metrics are transparent worksheet formulas.</x:v>
      </x:c>
    </x:row>
    <x:row r="4" ht="15" hidden="0" customHeight="1">
      <x:c r="A4" s="26" t="str">
        <x:v>Analysis set</x:v>
      </x:c>
      <x:c r="B4" s="27" t="str">
        <x:v>Fixture ID</x:v>
      </x:c>
      <x:c r="C4" s="27" t="str">
        <x:v>Fixture label</x:v>
      </x:c>
      <x:c r="D4" s="27" t="str">
        <x:v>Technical condition</x:v>
      </x:c>
      <x:c r="E4" s="27" t="str">
        <x:v>Direct unique</x:v>
      </x:c>
      <x:c r="F4" s="27" t="str">
        <x:v>Report unique</x:v>
      </x:c>
      <x:c r="G4" s="27" t="str">
        <x:v>Concordant</x:v>
      </x:c>
      <x:c r="H4" s="27" t="str">
        <x:v>Direct only</x:v>
      </x:c>
      <x:c r="I4" s="27" t="str">
        <x:v>Report only</x:v>
      </x:c>
      <x:c r="J4" s="27" t="str">
        <x:v>Sensitivity</x:v>
      </x:c>
      <x:c r="K4" s="27" t="str">
        <x:v>PPV</x:v>
      </x:c>
      <x:c r="L4" s="27" t="str">
        <x:v>Jaccard</x:v>
      </x:c>
      <x:c r="M4" s="27" t="str">
        <x:v>F1</x:v>
      </x:c>
    </x:row>
    <x:row r="5" ht="15" hidden="0" customHeight="1">
      <x:c r="A5" s="28" t="str">
        <x:v>all-input-variants</x:v>
      </x:c>
      <x:c r="B5" s="29" t="str">
        <x:v>ALL</x:v>
      </x:c>
      <x:c r="C5" s="29" t="str">
        <x:v>All fixtures</x:v>
      </x:c>
      <x:c r="D5" s="29" t="str">
        <x:v>Aggregate across 12 technical fixtures</x:v>
      </x:c>
      <x:c r="E5" s="30" t="n">
        <x:v>2624</x:v>
      </x:c>
      <x:c r="F5" s="30" t="n">
        <x:v>2108</x:v>
      </x:c>
      <x:c r="G5" s="30" t="n">
        <x:v>2095</x:v>
      </x:c>
      <x:c r="H5" s="30" t="n">
        <x:v>529</x:v>
      </x:c>
      <x:c r="I5" s="30" t="n">
        <x:v>13</x:v>
      </x:c>
      <x:c r="J5" s="31" t="n">
        <x:f>IF(E5=0,0,G5/E5)</x:f>
        <x:v>0.7983993902439024</x:v>
      </x:c>
      <x:c r="K5" s="31" t="n">
        <x:f>IF(F5=0,0,G5/F5)</x:f>
        <x:v>0.9938330170777988</x:v>
      </x:c>
      <x:c r="L5" s="31" t="n">
        <x:f>IF((G5+H5+I5)=0,0,G5/(G5+H5+I5))</x:f>
        <x:v>0.7944634053849071</x:v>
      </x:c>
      <x:c r="M5" s="31" t="n">
        <x:f>IF((2*G5+H5+I5)=0,0,2*G5/(2*G5+H5+I5))</x:f>
        <x:v>0.8854606931530008</x:v>
      </x:c>
    </x:row>
    <x:row r="6" ht="15" hidden="0" customHeight="1">
      <x:c r="A6" s="28" t="str">
        <x:v>all-input-variants</x:v>
      </x:c>
      <x:c r="B6" s="29" t="str">
        <x:v>test</x:v>
      </x:c>
      <x:c r="C6" s="29" t="str">
        <x:v>Baseline</x:v>
      </x:c>
      <x:c r="D6" s="29" t="str">
        <x:v>Baseline VCF route</x:v>
      </x:c>
      <x:c r="E6" s="30" t="n">
        <x:v>19</x:v>
      </x:c>
      <x:c r="F6" s="30" t="n">
        <x:v>16</x:v>
      </x:c>
      <x:c r="G6" s="30" t="n">
        <x:v>16</x:v>
      </x:c>
      <x:c r="H6" s="30" t="n">
        <x:v>3</x:v>
      </x:c>
      <x:c r="I6" s="30" t="n">
        <x:v>0</x:v>
      </x:c>
      <x:c r="J6" s="31" t="n">
        <x:f>IF(E6=0,0,G6/E6)</x:f>
        <x:v>0.8421052631578947</x:v>
      </x:c>
      <x:c r="K6" s="31" t="n">
        <x:f>IF(F6=0,0,G6/F6)</x:f>
        <x:v>1</x:v>
      </x:c>
      <x:c r="L6" s="31" t="n">
        <x:f>IF((G6+H6+I6)=0,0,G6/(G6+H6+I6))</x:f>
        <x:v>0.8421052631578947</x:v>
      </x:c>
      <x:c r="M6" s="31" t="n">
        <x:f>IF((2*G6+H6+I6)=0,0,2*G6/(2*G6+H6+I6))</x:f>
        <x:v>0.9142857142857143</x:v>
      </x:c>
    </x:row>
    <x:row r="7" ht="15" hidden="0" customHeight="1">
      <x:c r="A7" s="28" t="str">
        <x:v>all-input-variants</x:v>
      </x:c>
      <x:c r="B7" s="29" t="str">
        <x:v>test_b37</x:v>
      </x:c>
      <x:c r="C7" s="29" t="str">
        <x:v>GRCh37</x:v>
      </x:c>
      <x:c r="D7" s="29" t="str">
        <x:v>Native GRCh37 input</x:v>
      </x:c>
      <x:c r="E7" s="30" t="n">
        <x:v>25</x:v>
      </x:c>
      <x:c r="F7" s="30" t="n">
        <x:v>25</x:v>
      </x:c>
      <x:c r="G7" s="30" t="n">
        <x:v>25</x:v>
      </x:c>
      <x:c r="H7" s="30" t="n">
        <x:v>0</x:v>
      </x:c>
      <x:c r="I7" s="30" t="n">
        <x:v>0</x:v>
      </x:c>
      <x:c r="J7" s="31" t="n">
        <x:f>IF(E7=0,0,G7/E7)</x:f>
        <x:v>1</x:v>
      </x:c>
      <x:c r="K7" s="31" t="n">
        <x:f>IF(F7=0,0,G7/F7)</x:f>
        <x:v>1</x:v>
      </x:c>
      <x:c r="L7" s="31" t="n">
        <x:f>IF((G7+H7+I7)=0,0,G7/(G7+H7+I7))</x:f>
        <x:v>1</x:v>
      </x:c>
      <x:c r="M7" s="31" t="n">
        <x:f>IF((2*G7+H7+I7)=0,0,2*G7/(2*G7+H7+I7))</x:f>
        <x:v>1</x:v>
      </x:c>
    </x:row>
    <x:row r="8" ht="26.399999618530273" hidden="0" customHeight="1">
      <x:c r="A8" s="28" t="str">
        <x:v>all-input-variants</x:v>
      </x:c>
      <x:c r="B8" s="29" t="str">
        <x:v>test_b38</x:v>
      </x:c>
      <x:c r="C8" s="29" t="str">
        <x:v>GRCh38 → GRCh37</x:v>
      </x:c>
      <x:c r="D8" s="29" t="str">
        <x:v>GRCh38 input with declared legacy-cohort liftover</x:v>
      </x:c>
      <x:c r="E8" s="30" t="n">
        <x:v>25</x:v>
      </x:c>
      <x:c r="F8" s="30" t="n">
        <x:v>25</x:v>
      </x:c>
      <x:c r="G8" s="30" t="n">
        <x:v>25</x:v>
      </x:c>
      <x:c r="H8" s="30" t="n">
        <x:v>0</x:v>
      </x:c>
      <x:c r="I8" s="30" t="n">
        <x:v>0</x:v>
      </x:c>
      <x:c r="J8" s="31" t="n">
        <x:f>IF(E8=0,0,G8/E8)</x:f>
        <x:v>1</x:v>
      </x:c>
      <x:c r="K8" s="31" t="n">
        <x:f>IF(F8=0,0,G8/F8)</x:f>
        <x:v>1</x:v>
      </x:c>
      <x:c r="L8" s="31" t="n">
        <x:f>IF((G8+H8+I8)=0,0,G8/(G8+H8+I8))</x:f>
        <x:v>1</x:v>
      </x:c>
      <x:c r="M8" s="31" t="n">
        <x:f>IF((2*G8+H8+I8)=0,0,2*G8/(2*G8+H8+I8))</x:f>
        <x:v>1</x:v>
      </x:c>
    </x:row>
    <x:row r="9" ht="15" hidden="0" customHeight="1">
      <x:c r="A9" s="28" t="str">
        <x:v>all-input-variants</x:v>
      </x:c>
      <x:c r="B9" s="29" t="str">
        <x:v>test_maf</x:v>
      </x:c>
      <x:c r="C9" s="29" t="str">
        <x:v>MAF → VCF</x:v>
      </x:c>
      <x:c r="D9" s="29" t="str">
        <x:v>MAF-to-VCF reconstruction fixture</x:v>
      </x:c>
      <x:c r="E9" s="30" t="n">
        <x:v>19</x:v>
      </x:c>
      <x:c r="F9" s="30" t="n">
        <x:v>16</x:v>
      </x:c>
      <x:c r="G9" s="30" t="n">
        <x:v>16</x:v>
      </x:c>
      <x:c r="H9" s="30" t="n">
        <x:v>3</x:v>
      </x:c>
      <x:c r="I9" s="30" t="n">
        <x:v>0</x:v>
      </x:c>
      <x:c r="J9" s="31" t="n">
        <x:f>IF(E9=0,0,G9/E9)</x:f>
        <x:v>0.8421052631578947</x:v>
      </x:c>
      <x:c r="K9" s="31" t="n">
        <x:f>IF(F9=0,0,G9/F9)</x:f>
        <x:v>1</x:v>
      </x:c>
      <x:c r="L9" s="31" t="n">
        <x:f>IF((G9+H9+I9)=0,0,G9/(G9+H9+I9))</x:f>
        <x:v>0.8421052631578947</x:v>
      </x:c>
      <x:c r="M9" s="31" t="n">
        <x:f>IF((2*G9+H9+I9)=0,0,2*G9/(2*G9+H9+I9))</x:f>
        <x:v>0.9142857142857143</x:v>
      </x:c>
    </x:row>
    <x:row r="10" ht="15" hidden="0" customHeight="1">
      <x:c r="A10" s="28" t="str">
        <x:v>all-input-variants</x:v>
      </x:c>
      <x:c r="B10" s="29" t="str">
        <x:v>test_mer</x:v>
      </x:c>
      <x:c r="C10" s="29" t="str">
        <x:v>Merged callers</x:v>
      </x:c>
      <x:c r="D10" s="29" t="str">
        <x:v>Merged multi-caller fixture</x:v>
      </x:c>
      <x:c r="E10" s="30" t="n">
        <x:v>573</x:v>
      </x:c>
      <x:c r="F10" s="30" t="n">
        <x:v>365</x:v>
      </x:c>
      <x:c r="G10" s="30" t="n">
        <x:v>362</x:v>
      </x:c>
      <x:c r="H10" s="30" t="n">
        <x:v>211</x:v>
      </x:c>
      <x:c r="I10" s="30" t="n">
        <x:v>3</x:v>
      </x:c>
      <x:c r="J10" s="31" t="n">
        <x:f>IF(E10=0,0,G10/E10)</x:f>
        <x:v>0.631762652705061</x:v>
      </x:c>
      <x:c r="K10" s="31" t="n">
        <x:f>IF(F10=0,0,G10/F10)</x:f>
        <x:v>0.9917808219178083</x:v>
      </x:c>
      <x:c r="L10" s="31" t="n">
        <x:f>IF((G10+H10+I10)=0,0,G10/(G10+H10+I10))</x:f>
        <x:v>0.6284722222222222</x:v>
      </x:c>
      <x:c r="M10" s="31" t="n">
        <x:f>IF((2*G10+H10+I10)=0,0,2*G10/(2*G10+H10+I10))</x:f>
        <x:v>0.7718550106609808</x:v>
      </x:c>
    </x:row>
    <x:row r="11" ht="15" hidden="0" customHeight="1">
      <x:c r="A11" s="28" t="str">
        <x:v>all-input-variants</x:v>
      </x:c>
      <x:c r="B11" s="29" t="str">
        <x:v>test_mus</x:v>
      </x:c>
      <x:c r="C11" s="29" t="str">
        <x:v>MuSE</x:v>
      </x:c>
      <x:c r="D11" s="29" t="str">
        <x:v>MuSE caller fixture</x:v>
      </x:c>
      <x:c r="E11" s="30" t="n">
        <x:v>434</x:v>
      </x:c>
      <x:c r="F11" s="30" t="n">
        <x:v>411</x:v>
      </x:c>
      <x:c r="G11" s="30" t="n">
        <x:v>410</x:v>
      </x:c>
      <x:c r="H11" s="30" t="n">
        <x:v>24</x:v>
      </x:c>
      <x:c r="I11" s="30" t="n">
        <x:v>1</x:v>
      </x:c>
      <x:c r="J11" s="31" t="n">
        <x:f>IF(E11=0,0,G11/E11)</x:f>
        <x:v>0.9447004608294931</x:v>
      </x:c>
      <x:c r="K11" s="31" t="n">
        <x:f>IF(F11=0,0,G11/F11)</x:f>
        <x:v>0.9975669099756691</x:v>
      </x:c>
      <x:c r="L11" s="31" t="n">
        <x:f>IF((G11+H11+I11)=0,0,G11/(G11+H11+I11))</x:f>
        <x:v>0.9425287356321839</x:v>
      </x:c>
      <x:c r="M11" s="31" t="n">
        <x:f>IF((2*G11+H11+I11)=0,0,2*G11/(2*G11+H11+I11))</x:f>
        <x:v>0.9704142011834319</x:v>
      </x:c>
    </x:row>
    <x:row r="12" ht="15" hidden="0" customHeight="1">
      <x:c r="A12" s="28" t="str">
        <x:v>all-input-variants</x:v>
      </x:c>
      <x:c r="B12" s="29" t="str">
        <x:v>test_mut</x:v>
      </x:c>
      <x:c r="C12" s="29" t="str">
        <x:v>MuTect</x:v>
      </x:c>
      <x:c r="D12" s="29" t="str">
        <x:v>MuTect caller fixture</x:v>
      </x:c>
      <x:c r="E12" s="30" t="n">
        <x:v>500</x:v>
      </x:c>
      <x:c r="F12" s="30" t="n">
        <x:v>323</x:v>
      </x:c>
      <x:c r="G12" s="30" t="n">
        <x:v>322</x:v>
      </x:c>
      <x:c r="H12" s="30" t="n">
        <x:v>178</x:v>
      </x:c>
      <x:c r="I12" s="30" t="n">
        <x:v>1</x:v>
      </x:c>
      <x:c r="J12" s="31" t="n">
        <x:f>IF(E12=0,0,G12/E12)</x:f>
        <x:v>0.644</x:v>
      </x:c>
      <x:c r="K12" s="31" t="n">
        <x:f>IF(F12=0,0,G12/F12)</x:f>
        <x:v>0.9969040247678018</x:v>
      </x:c>
      <x:c r="L12" s="31" t="n">
        <x:f>IF((G12+H12+I12)=0,0,G12/(G12+H12+I12))</x:f>
        <x:v>0.6427145708582834</x:v>
      </x:c>
      <x:c r="M12" s="31" t="n">
        <x:f>IF((2*G12+H12+I12)=0,0,2*G12/(2*G12+H12+I12))</x:f>
        <x:v>0.7825030376670717</x:v>
      </x:c>
    </x:row>
    <x:row r="13" ht="15" hidden="0" customHeight="1">
      <x:c r="A13" s="28" t="str">
        <x:v>all-input-variants</x:v>
      </x:c>
      <x:c r="B13" s="29" t="str">
        <x:v>test_pin</x:v>
      </x:c>
      <x:c r="C13" s="29" t="str">
        <x:v>Pindel</x:v>
      </x:c>
      <x:c r="D13" s="29" t="str">
        <x:v>Pindel caller fixture</x:v>
      </x:c>
      <x:c r="E13" s="30" t="n">
        <x:v>32</x:v>
      </x:c>
      <x:c r="F13" s="30" t="n">
        <x:v>31</x:v>
      </x:c>
      <x:c r="G13" s="30" t="n">
        <x:v>29</x:v>
      </x:c>
      <x:c r="H13" s="30" t="n">
        <x:v>3</x:v>
      </x:c>
      <x:c r="I13" s="30" t="n">
        <x:v>2</x:v>
      </x:c>
      <x:c r="J13" s="31" t="n">
        <x:f>IF(E13=0,0,G13/E13)</x:f>
        <x:v>0.90625</x:v>
      </x:c>
      <x:c r="K13" s="31" t="n">
        <x:f>IF(F13=0,0,G13/F13)</x:f>
        <x:v>0.9354838709677419</x:v>
      </x:c>
      <x:c r="L13" s="31" t="n">
        <x:f>IF((G13+H13+I13)=0,0,G13/(G13+H13+I13))</x:f>
        <x:v>0.8529411764705882</x:v>
      </x:c>
      <x:c r="M13" s="31" t="n">
        <x:f>IF((2*G13+H13+I13)=0,0,2*G13/(2*G13+H13+I13))</x:f>
        <x:v>0.9206349206349206</x:v>
      </x:c>
    </x:row>
    <x:row r="14" ht="15" hidden="0" customHeight="1">
      <x:c r="A14" s="28" t="str">
        <x:v>all-input-variants</x:v>
      </x:c>
      <x:c r="B14" s="29" t="str">
        <x:v>test_rad</x:v>
      </x:c>
      <x:c r="C14" s="29" t="str">
        <x:v>RADIA</x:v>
      </x:c>
      <x:c r="D14" s="29" t="str">
        <x:v>RADIA caller fixture</x:v>
      </x:c>
      <x:c r="E14" s="30" t="n">
        <x:v>87</x:v>
      </x:c>
      <x:c r="F14" s="30" t="n">
        <x:v>83</x:v>
      </x:c>
      <x:c r="G14" s="30" t="n">
        <x:v>82</x:v>
      </x:c>
      <x:c r="H14" s="30" t="n">
        <x:v>5</x:v>
      </x:c>
      <x:c r="I14" s="30" t="n">
        <x:v>1</x:v>
      </x:c>
      <x:c r="J14" s="31" t="n">
        <x:f>IF(E14=0,0,G14/E14)</x:f>
        <x:v>0.9425287356321839</x:v>
      </x:c>
      <x:c r="K14" s="31" t="n">
        <x:f>IF(F14=0,0,G14/F14)</x:f>
        <x:v>0.9879518072289156</x:v>
      </x:c>
      <x:c r="L14" s="31" t="n">
        <x:f>IF((G14+H14+I14)=0,0,G14/(G14+H14+I14))</x:f>
        <x:v>0.9318181818181818</x:v>
      </x:c>
      <x:c r="M14" s="31" t="n">
        <x:f>IF((2*G14+H14+I14)=0,0,2*G14/(2*G14+H14+I14))</x:f>
        <x:v>0.9647058823529412</x:v>
      </x:c>
    </x:row>
    <x:row r="15" ht="15" hidden="0" customHeight="1">
      <x:c r="A15" s="28" t="str">
        <x:v>all-input-variants</x:v>
      </x:c>
      <x:c r="B15" s="29" t="str">
        <x:v>test_sni</x:v>
      </x:c>
      <x:c r="C15" s="29" t="str">
        <x:v>SomaticSniper</x:v>
      </x:c>
      <x:c r="D15" s="29" t="str">
        <x:v>SomaticSniper caller fixture</x:v>
      </x:c>
      <x:c r="E15" s="30" t="n">
        <x:v>169</x:v>
      </x:c>
      <x:c r="F15" s="30" t="n">
        <x:v>158</x:v>
      </x:c>
      <x:c r="G15" s="30" t="n">
        <x:v>156</x:v>
      </x:c>
      <x:c r="H15" s="30" t="n">
        <x:v>13</x:v>
      </x:c>
      <x:c r="I15" s="30" t="n">
        <x:v>2</x:v>
      </x:c>
      <x:c r="J15" s="31" t="n">
        <x:f>IF(E15=0,0,G15/E15)</x:f>
        <x:v>0.9230769230769231</x:v>
      </x:c>
      <x:c r="K15" s="31" t="n">
        <x:f>IF(F15=0,0,G15/F15)</x:f>
        <x:v>0.9873417721518988</x:v>
      </x:c>
      <x:c r="L15" s="31" t="n">
        <x:f>IF((G15+H15+I15)=0,0,G15/(G15+H15+I15))</x:f>
        <x:v>0.9122807017543859</x:v>
      </x:c>
      <x:c r="M15" s="31" t="n">
        <x:f>IF((2*G15+H15+I15)=0,0,2*G15/(2*G15+H15+I15))</x:f>
        <x:v>0.9541284403669725</x:v>
      </x:c>
    </x:row>
    <x:row r="16" ht="15" hidden="0" customHeight="1">
      <x:c r="A16" s="28" t="str">
        <x:v>all-input-variants</x:v>
      </x:c>
      <x:c r="B16" s="29" t="str">
        <x:v>test_str</x:v>
      </x:c>
      <x:c r="C16" s="29" t="str">
        <x:v>Strelka</x:v>
      </x:c>
      <x:c r="D16" s="29" t="str">
        <x:v>Strelka caller fixture</x:v>
      </x:c>
      <x:c r="E16" s="30" t="n">
        <x:v>240</x:v>
      </x:c>
      <x:c r="F16" s="30" t="n">
        <x:v>232</x:v>
      </x:c>
      <x:c r="G16" s="30" t="n">
        <x:v>230</x:v>
      </x:c>
      <x:c r="H16" s="30" t="n">
        <x:v>10</x:v>
      </x:c>
      <x:c r="I16" s="30" t="n">
        <x:v>2</x:v>
      </x:c>
      <x:c r="J16" s="31" t="n">
        <x:f>IF(E16=0,0,G16/E16)</x:f>
        <x:v>0.9583333333333334</x:v>
      </x:c>
      <x:c r="K16" s="31" t="n">
        <x:f>IF(F16=0,0,G16/F16)</x:f>
        <x:v>0.9913793103448276</x:v>
      </x:c>
      <x:c r="L16" s="31" t="n">
        <x:f>IF((G16+H16+I16)=0,0,G16/(G16+H16+I16))</x:f>
        <x:v>0.9504132231404959</x:v>
      </x:c>
      <x:c r="M16" s="31" t="n">
        <x:f>IF((2*G16+H16+I16)=0,0,2*G16/(2*G16+H16+I16))</x:f>
        <x:v>0.9745762711864406</x:v>
      </x:c>
    </x:row>
    <x:row r="17" ht="15" hidden="0" customHeight="1">
      <x:c r="A17" s="28" t="str">
        <x:v>all-input-variants</x:v>
      </x:c>
      <x:c r="B17" s="29" t="str">
        <x:v>test_var</x:v>
      </x:c>
      <x:c r="C17" s="29" t="str">
        <x:v>VarScan</x:v>
      </x:c>
      <x:c r="D17" s="29" t="str">
        <x:v>VarScan caller fixture</x:v>
      </x:c>
      <x:c r="E17" s="30" t="n">
        <x:v>501</x:v>
      </x:c>
      <x:c r="F17" s="30" t="n">
        <x:v>423</x:v>
      </x:c>
      <x:c r="G17" s="30" t="n">
        <x:v>422</x:v>
      </x:c>
      <x:c r="H17" s="30" t="n">
        <x:v>79</x:v>
      </x:c>
      <x:c r="I17" s="30" t="n">
        <x:v>1</x:v>
      </x:c>
      <x:c r="J17" s="31" t="n">
        <x:f>IF(E17=0,0,G17/E17)</x:f>
        <x:v>0.8423153692614771</x:v>
      </x:c>
      <x:c r="K17" s="31" t="n">
        <x:f>IF(F17=0,0,G17/F17)</x:f>
        <x:v>0.9976359338061466</x:v>
      </x:c>
      <x:c r="L17" s="31" t="n">
        <x:f>IF((G17+H17+I17)=0,0,G17/(G17+H17+I17))</x:f>
        <x:v>0.8406374501992032</x:v>
      </x:c>
      <x:c r="M17" s="31" t="n">
        <x:f>IF((2*G17+H17+I17)=0,0,2*G17/(2*G17+H17+I17))</x:f>
        <x:v>0.9134199134199135</x:v>
      </x:c>
    </x:row>
    <x:row r="18" ht="15" hidden="0" customHeight="1">
      <x:c r="A18" s="28" t="str">
        <x:v>hgvs-evaluable-subset</x:v>
      </x:c>
      <x:c r="B18" s="29" t="str">
        <x:v>ALL</x:v>
      </x:c>
      <x:c r="C18" s="29" t="str">
        <x:v>All fixtures</x:v>
      </x:c>
      <x:c r="D18" s="29" t="str">
        <x:v>Aggregate across 12 technical fixtures</x:v>
      </x:c>
      <x:c r="E18" s="30" t="n">
        <x:v>2149</x:v>
      </x:c>
      <x:c r="F18" s="30" t="n">
        <x:v>2108</x:v>
      </x:c>
      <x:c r="G18" s="30" t="n">
        <x:v>2095</x:v>
      </x:c>
      <x:c r="H18" s="30" t="n">
        <x:v>54</x:v>
      </x:c>
      <x:c r="I18" s="30" t="n">
        <x:v>13</x:v>
      </x:c>
      <x:c r="J18" s="31" t="n">
        <x:f>IF(E18=0,0,G18/E18)</x:f>
        <x:v>0.9748720335039553</x:v>
      </x:c>
      <x:c r="K18" s="31" t="n">
        <x:f>IF(F18=0,0,G18/F18)</x:f>
        <x:v>0.9938330170777988</x:v>
      </x:c>
      <x:c r="L18" s="31" t="n">
        <x:f>IF((G18+H18+I18)=0,0,G18/(G18+H18+I18))</x:f>
        <x:v>0.9690101757631823</x:v>
      </x:c>
      <x:c r="M18" s="31" t="n">
        <x:f>IF((2*G18+H18+I18)=0,0,2*G18/(2*G18+H18+I18))</x:f>
        <x:v>0.9842612168193563</x:v>
      </x:c>
    </x:row>
    <x:row r="19" ht="15" hidden="0" customHeight="1">
      <x:c r="A19" s="28" t="str">
        <x:v>hgvs-evaluable-subset</x:v>
      </x:c>
      <x:c r="B19" s="29" t="str">
        <x:v>test</x:v>
      </x:c>
      <x:c r="C19" s="29" t="str">
        <x:v>Baseline</x:v>
      </x:c>
      <x:c r="D19" s="29" t="str">
        <x:v>Baseline VCF route</x:v>
      </x:c>
      <x:c r="E19" s="30" t="n">
        <x:v>16</x:v>
      </x:c>
      <x:c r="F19" s="30" t="n">
        <x:v>16</x:v>
      </x:c>
      <x:c r="G19" s="30" t="n">
        <x:v>16</x:v>
      </x:c>
      <x:c r="H19" s="30" t="n">
        <x:v>0</x:v>
      </x:c>
      <x:c r="I19" s="30" t="n">
        <x:v>0</x:v>
      </x:c>
      <x:c r="J19" s="31" t="n">
        <x:f>IF(E19=0,0,G19/E19)</x:f>
        <x:v>1</x:v>
      </x:c>
      <x:c r="K19" s="31" t="n">
        <x:f>IF(F19=0,0,G19/F19)</x:f>
        <x:v>1</x:v>
      </x:c>
      <x:c r="L19" s="31" t="n">
        <x:f>IF((G19+H19+I19)=0,0,G19/(G19+H19+I19))</x:f>
        <x:v>1</x:v>
      </x:c>
      <x:c r="M19" s="31" t="n">
        <x:f>IF((2*G19+H19+I19)=0,0,2*G19/(2*G19+H19+I19))</x:f>
        <x:v>1</x:v>
      </x:c>
    </x:row>
    <x:row r="20" ht="15" hidden="0" customHeight="1">
      <x:c r="A20" s="28" t="str">
        <x:v>hgvs-evaluable-subset</x:v>
      </x:c>
      <x:c r="B20" s="29" t="str">
        <x:v>test_b37</x:v>
      </x:c>
      <x:c r="C20" s="29" t="str">
        <x:v>GRCh37</x:v>
      </x:c>
      <x:c r="D20" s="29" t="str">
        <x:v>Native GRCh37 input</x:v>
      </x:c>
      <x:c r="E20" s="30" t="n">
        <x:v>25</x:v>
      </x:c>
      <x:c r="F20" s="30" t="n">
        <x:v>25</x:v>
      </x:c>
      <x:c r="G20" s="30" t="n">
        <x:v>25</x:v>
      </x:c>
      <x:c r="H20" s="30" t="n">
        <x:v>0</x:v>
      </x:c>
      <x:c r="I20" s="30" t="n">
        <x:v>0</x:v>
      </x:c>
      <x:c r="J20" s="31" t="n">
        <x:f>IF(E20=0,0,G20/E20)</x:f>
        <x:v>1</x:v>
      </x:c>
      <x:c r="K20" s="31" t="n">
        <x:f>IF(F20=0,0,G20/F20)</x:f>
        <x:v>1</x:v>
      </x:c>
      <x:c r="L20" s="31" t="n">
        <x:f>IF((G20+H20+I20)=0,0,G20/(G20+H20+I20))</x:f>
        <x:v>1</x:v>
      </x:c>
      <x:c r="M20" s="31" t="n">
        <x:f>IF((2*G20+H20+I20)=0,0,2*G20/(2*G20+H20+I20))</x:f>
        <x:v>1</x:v>
      </x:c>
    </x:row>
    <x:row r="21" ht="26.399999618530273" hidden="0" customHeight="1">
      <x:c r="A21" s="28" t="str">
        <x:v>hgvs-evaluable-subset</x:v>
      </x:c>
      <x:c r="B21" s="29" t="str">
        <x:v>test_b38</x:v>
      </x:c>
      <x:c r="C21" s="29" t="str">
        <x:v>GRCh38 → GRCh37</x:v>
      </x:c>
      <x:c r="D21" s="29" t="str">
        <x:v>GRCh38 input with declared legacy-cohort liftover</x:v>
      </x:c>
      <x:c r="E21" s="30" t="n">
        <x:v>25</x:v>
      </x:c>
      <x:c r="F21" s="30" t="n">
        <x:v>25</x:v>
      </x:c>
      <x:c r="G21" s="30" t="n">
        <x:v>25</x:v>
      </x:c>
      <x:c r="H21" s="30" t="n">
        <x:v>0</x:v>
      </x:c>
      <x:c r="I21" s="30" t="n">
        <x:v>0</x:v>
      </x:c>
      <x:c r="J21" s="31" t="n">
        <x:f>IF(E21=0,0,G21/E21)</x:f>
        <x:v>1</x:v>
      </x:c>
      <x:c r="K21" s="31" t="n">
        <x:f>IF(F21=0,0,G21/F21)</x:f>
        <x:v>1</x:v>
      </x:c>
      <x:c r="L21" s="31" t="n">
        <x:f>IF((G21+H21+I21)=0,0,G21/(G21+H21+I21))</x:f>
        <x:v>1</x:v>
      </x:c>
      <x:c r="M21" s="31" t="n">
        <x:f>IF((2*G21+H21+I21)=0,0,2*G21/(2*G21+H21+I21))</x:f>
        <x:v>1</x:v>
      </x:c>
    </x:row>
    <x:row r="22" ht="15" hidden="0" customHeight="1">
      <x:c r="A22" s="28" t="str">
        <x:v>hgvs-evaluable-subset</x:v>
      </x:c>
      <x:c r="B22" s="29" t="str">
        <x:v>test_maf</x:v>
      </x:c>
      <x:c r="C22" s="29" t="str">
        <x:v>MAF → VCF</x:v>
      </x:c>
      <x:c r="D22" s="29" t="str">
        <x:v>MAF-to-VCF reconstruction fixture</x:v>
      </x:c>
      <x:c r="E22" s="30" t="n">
        <x:v>16</x:v>
      </x:c>
      <x:c r="F22" s="30" t="n">
        <x:v>16</x:v>
      </x:c>
      <x:c r="G22" s="30" t="n">
        <x:v>16</x:v>
      </x:c>
      <x:c r="H22" s="30" t="n">
        <x:v>0</x:v>
      </x:c>
      <x:c r="I22" s="30" t="n">
        <x:v>0</x:v>
      </x:c>
      <x:c r="J22" s="31" t="n">
        <x:f>IF(E22=0,0,G22/E22)</x:f>
        <x:v>1</x:v>
      </x:c>
      <x:c r="K22" s="31" t="n">
        <x:f>IF(F22=0,0,G22/F22)</x:f>
        <x:v>1</x:v>
      </x:c>
      <x:c r="L22" s="31" t="n">
        <x:f>IF((G22+H22+I22)=0,0,G22/(G22+H22+I22))</x:f>
        <x:v>1</x:v>
      </x:c>
      <x:c r="M22" s="31" t="n">
        <x:f>IF((2*G22+H22+I22)=0,0,2*G22/(2*G22+H22+I22))</x:f>
        <x:v>1</x:v>
      </x:c>
    </x:row>
    <x:row r="23" ht="15" hidden="0" customHeight="1">
      <x:c r="A23" s="28" t="str">
        <x:v>hgvs-evaluable-subset</x:v>
      </x:c>
      <x:c r="B23" s="29" t="str">
        <x:v>test_mer</x:v>
      </x:c>
      <x:c r="C23" s="29" t="str">
        <x:v>Merged callers</x:v>
      </x:c>
      <x:c r="D23" s="29" t="str">
        <x:v>Merged multi-caller fixture</x:v>
      </x:c>
      <x:c r="E23" s="30" t="n">
        <x:v>377</x:v>
      </x:c>
      <x:c r="F23" s="30" t="n">
        <x:v>365</x:v>
      </x:c>
      <x:c r="G23" s="30" t="n">
        <x:v>362</x:v>
      </x:c>
      <x:c r="H23" s="30" t="n">
        <x:v>15</x:v>
      </x:c>
      <x:c r="I23" s="30" t="n">
        <x:v>3</x:v>
      </x:c>
      <x:c r="J23" s="31" t="n">
        <x:f>IF(E23=0,0,G23/E23)</x:f>
        <x:v>0.9602122015915119</x:v>
      </x:c>
      <x:c r="K23" s="31" t="n">
        <x:f>IF(F23=0,0,G23/F23)</x:f>
        <x:v>0.9917808219178083</x:v>
      </x:c>
      <x:c r="L23" s="31" t="n">
        <x:f>IF((G23+H23+I23)=0,0,G23/(G23+H23+I23))</x:f>
        <x:v>0.9526315789473684</x:v>
      </x:c>
      <x:c r="M23" s="31" t="n">
        <x:f>IF((2*G23+H23+I23)=0,0,2*G23/(2*G23+H23+I23))</x:f>
        <x:v>0.9757412398921833</x:v>
      </x:c>
    </x:row>
    <x:row r="24" ht="15" hidden="0" customHeight="1">
      <x:c r="A24" s="28" t="str">
        <x:v>hgvs-evaluable-subset</x:v>
      </x:c>
      <x:c r="B24" s="29" t="str">
        <x:v>test_mus</x:v>
      </x:c>
      <x:c r="C24" s="29" t="str">
        <x:v>MuSE</x:v>
      </x:c>
      <x:c r="D24" s="29" t="str">
        <x:v>MuSE caller fixture</x:v>
      </x:c>
      <x:c r="E24" s="30" t="n">
        <x:v>414</x:v>
      </x:c>
      <x:c r="F24" s="30" t="n">
        <x:v>411</x:v>
      </x:c>
      <x:c r="G24" s="30" t="n">
        <x:v>410</x:v>
      </x:c>
      <x:c r="H24" s="30" t="n">
        <x:v>4</x:v>
      </x:c>
      <x:c r="I24" s="30" t="n">
        <x:v>1</x:v>
      </x:c>
      <x:c r="J24" s="31" t="n">
        <x:f>IF(E24=0,0,G24/E24)</x:f>
        <x:v>0.9903381642512077</x:v>
      </x:c>
      <x:c r="K24" s="31" t="n">
        <x:f>IF(F24=0,0,G24/F24)</x:f>
        <x:v>0.9975669099756691</x:v>
      </x:c>
      <x:c r="L24" s="31" t="n">
        <x:f>IF((G24+H24+I24)=0,0,G24/(G24+H24+I24))</x:f>
        <x:v>0.9879518072289156</x:v>
      </x:c>
      <x:c r="M24" s="31" t="n">
        <x:f>IF((2*G24+H24+I24)=0,0,2*G24/(2*G24+H24+I24))</x:f>
        <x:v>0.9939393939393939</x:v>
      </x:c>
    </x:row>
    <x:row r="25" ht="15" hidden="0" customHeight="1">
      <x:c r="A25" s="28" t="str">
        <x:v>hgvs-evaluable-subset</x:v>
      </x:c>
      <x:c r="B25" s="29" t="str">
        <x:v>test_mut</x:v>
      </x:c>
      <x:c r="C25" s="29" t="str">
        <x:v>MuTect</x:v>
      </x:c>
      <x:c r="D25" s="29" t="str">
        <x:v>MuTect caller fixture</x:v>
      </x:c>
      <x:c r="E25" s="30" t="n">
        <x:v>335</x:v>
      </x:c>
      <x:c r="F25" s="30" t="n">
        <x:v>323</x:v>
      </x:c>
      <x:c r="G25" s="30" t="n">
        <x:v>322</x:v>
      </x:c>
      <x:c r="H25" s="30" t="n">
        <x:v>13</x:v>
      </x:c>
      <x:c r="I25" s="30" t="n">
        <x:v>1</x:v>
      </x:c>
      <x:c r="J25" s="31" t="n">
        <x:f>IF(E25=0,0,G25/E25)</x:f>
        <x:v>0.9611940298507463</x:v>
      </x:c>
      <x:c r="K25" s="31" t="n">
        <x:f>IF(F25=0,0,G25/F25)</x:f>
        <x:v>0.9969040247678018</x:v>
      </x:c>
      <x:c r="L25" s="31" t="n">
        <x:f>IF((G25+H25+I25)=0,0,G25/(G25+H25+I25))</x:f>
        <x:v>0.9583333333333334</x:v>
      </x:c>
      <x:c r="M25" s="31" t="n">
        <x:f>IF((2*G25+H25+I25)=0,0,2*G25/(2*G25+H25+I25))</x:f>
        <x:v>0.9787234042553191</x:v>
      </x:c>
    </x:row>
    <x:row r="26" ht="15" hidden="0" customHeight="1">
      <x:c r="A26" s="28" t="str">
        <x:v>hgvs-evaluable-subset</x:v>
      </x:c>
      <x:c r="B26" s="29" t="str">
        <x:v>test_pin</x:v>
      </x:c>
      <x:c r="C26" s="29" t="str">
        <x:v>Pindel</x:v>
      </x:c>
      <x:c r="D26" s="29" t="str">
        <x:v>Pindel caller fixture</x:v>
      </x:c>
      <x:c r="E26" s="30" t="n">
        <x:v>31</x:v>
      </x:c>
      <x:c r="F26" s="30" t="n">
        <x:v>31</x:v>
      </x:c>
      <x:c r="G26" s="30" t="n">
        <x:v>29</x:v>
      </x:c>
      <x:c r="H26" s="30" t="n">
        <x:v>2</x:v>
      </x:c>
      <x:c r="I26" s="30" t="n">
        <x:v>2</x:v>
      </x:c>
      <x:c r="J26" s="31" t="n">
        <x:f>IF(E26=0,0,G26/E26)</x:f>
        <x:v>0.9354838709677419</x:v>
      </x:c>
      <x:c r="K26" s="31" t="n">
        <x:f>IF(F26=0,0,G26/F26)</x:f>
        <x:v>0.9354838709677419</x:v>
      </x:c>
      <x:c r="L26" s="31" t="n">
        <x:f>IF((G26+H26+I26)=0,0,G26/(G26+H26+I26))</x:f>
        <x:v>0.8787878787878788</x:v>
      </x:c>
      <x:c r="M26" s="31" t="n">
        <x:f>IF((2*G26+H26+I26)=0,0,2*G26/(2*G26+H26+I26))</x:f>
        <x:v>0.9354838709677419</x:v>
      </x:c>
    </x:row>
    <x:row r="27" ht="15" hidden="0" customHeight="1">
      <x:c r="A27" s="28" t="str">
        <x:v>hgvs-evaluable-subset</x:v>
      </x:c>
      <x:c r="B27" s="29" t="str">
        <x:v>test_rad</x:v>
      </x:c>
      <x:c r="C27" s="29" t="str">
        <x:v>RADIA</x:v>
      </x:c>
      <x:c r="D27" s="29" t="str">
        <x:v>RADIA caller fixture</x:v>
      </x:c>
      <x:c r="E27" s="30" t="n">
        <x:v>83</x:v>
      </x:c>
      <x:c r="F27" s="30" t="n">
        <x:v>83</x:v>
      </x:c>
      <x:c r="G27" s="30" t="n">
        <x:v>82</x:v>
      </x:c>
      <x:c r="H27" s="30" t="n">
        <x:v>1</x:v>
      </x:c>
      <x:c r="I27" s="30" t="n">
        <x:v>1</x:v>
      </x:c>
      <x:c r="J27" s="31" t="n">
        <x:f>IF(E27=0,0,G27/E27)</x:f>
        <x:v>0.9879518072289156</x:v>
      </x:c>
      <x:c r="K27" s="31" t="n">
        <x:f>IF(F27=0,0,G27/F27)</x:f>
        <x:v>0.9879518072289156</x:v>
      </x:c>
      <x:c r="L27" s="31" t="n">
        <x:f>IF((G27+H27+I27)=0,0,G27/(G27+H27+I27))</x:f>
        <x:v>0.9761904761904762</x:v>
      </x:c>
      <x:c r="M27" s="31" t="n">
        <x:f>IF((2*G27+H27+I27)=0,0,2*G27/(2*G27+H27+I27))</x:f>
        <x:v>0.9879518072289156</x:v>
      </x:c>
    </x:row>
    <x:row r="28" ht="15" hidden="0" customHeight="1">
      <x:c r="A28" s="28" t="str">
        <x:v>hgvs-evaluable-subset</x:v>
      </x:c>
      <x:c r="B28" s="29" t="str">
        <x:v>test_sni</x:v>
      </x:c>
      <x:c r="C28" s="29" t="str">
        <x:v>SomaticSniper</x:v>
      </x:c>
      <x:c r="D28" s="29" t="str">
        <x:v>SomaticSniper caller fixture</x:v>
      </x:c>
      <x:c r="E28" s="30" t="n">
        <x:v>159</x:v>
      </x:c>
      <x:c r="F28" s="30" t="n">
        <x:v>158</x:v>
      </x:c>
      <x:c r="G28" s="30" t="n">
        <x:v>156</x:v>
      </x:c>
      <x:c r="H28" s="30" t="n">
        <x:v>3</x:v>
      </x:c>
      <x:c r="I28" s="30" t="n">
        <x:v>2</x:v>
      </x:c>
      <x:c r="J28" s="31" t="n">
        <x:f>IF(E28=0,0,G28/E28)</x:f>
        <x:v>0.9811320754716981</x:v>
      </x:c>
      <x:c r="K28" s="31" t="n">
        <x:f>IF(F28=0,0,G28/F28)</x:f>
        <x:v>0.9873417721518988</x:v>
      </x:c>
      <x:c r="L28" s="31" t="n">
        <x:f>IF((G28+H28+I28)=0,0,G28/(G28+H28+I28))</x:f>
        <x:v>0.968944099378882</x:v>
      </x:c>
      <x:c r="M28" s="31" t="n">
        <x:f>IF((2*G28+H28+I28)=0,0,2*G28/(2*G28+H28+I28))</x:f>
        <x:v>0.9842271293375394</x:v>
      </x:c>
    </x:row>
    <x:row r="29" ht="15" hidden="0" customHeight="1">
      <x:c r="A29" s="28" t="str">
        <x:v>hgvs-evaluable-subset</x:v>
      </x:c>
      <x:c r="B29" s="29" t="str">
        <x:v>test_str</x:v>
      </x:c>
      <x:c r="C29" s="29" t="str">
        <x:v>Strelka</x:v>
      </x:c>
      <x:c r="D29" s="29" t="str">
        <x:v>Strelka caller fixture</x:v>
      </x:c>
      <x:c r="E29" s="30" t="n">
        <x:v>237</x:v>
      </x:c>
      <x:c r="F29" s="30" t="n">
        <x:v>232</x:v>
      </x:c>
      <x:c r="G29" s="30" t="n">
        <x:v>230</x:v>
      </x:c>
      <x:c r="H29" s="30" t="n">
        <x:v>7</x:v>
      </x:c>
      <x:c r="I29" s="30" t="n">
        <x:v>2</x:v>
      </x:c>
      <x:c r="J29" s="31" t="n">
        <x:f>IF(E29=0,0,G29/E29)</x:f>
        <x:v>0.9704641350210971</x:v>
      </x:c>
      <x:c r="K29" s="31" t="n">
        <x:f>IF(F29=0,0,G29/F29)</x:f>
        <x:v>0.9913793103448276</x:v>
      </x:c>
      <x:c r="L29" s="31" t="n">
        <x:f>IF((G29+H29+I29)=0,0,G29/(G29+H29+I29))</x:f>
        <x:v>0.9623430962343096</x:v>
      </x:c>
      <x:c r="M29" s="31" t="n">
        <x:f>IF((2*G29+H29+I29)=0,0,2*G29/(2*G29+H29+I29))</x:f>
        <x:v>0.9808102345415778</x:v>
      </x:c>
    </x:row>
    <x:row r="30" ht="15" hidden="0" customHeight="1">
      <x:c r="A30" s="32" t="str">
        <x:v>hgvs-evaluable-subset</x:v>
      </x:c>
      <x:c r="B30" s="33" t="str">
        <x:v>test_var</x:v>
      </x:c>
      <x:c r="C30" s="33" t="str">
        <x:v>VarScan</x:v>
      </x:c>
      <x:c r="D30" s="33" t="str">
        <x:v>VarScan caller fixture</x:v>
      </x:c>
      <x:c r="E30" s="34" t="n">
        <x:v>431</x:v>
      </x:c>
      <x:c r="F30" s="34" t="n">
        <x:v>423</x:v>
      </x:c>
      <x:c r="G30" s="34" t="n">
        <x:v>422</x:v>
      </x:c>
      <x:c r="H30" s="34" t="n">
        <x:v>9</x:v>
      </x:c>
      <x:c r="I30" s="34" t="n">
        <x:v>1</x:v>
      </x:c>
      <x:c r="J30" s="35" t="n">
        <x:f>IF(E30=0,0,G30/E30)</x:f>
        <x:v>0.9791183294663574</x:v>
      </x:c>
      <x:c r="K30" s="35" t="n">
        <x:f>IF(F30=0,0,G30/F30)</x:f>
        <x:v>0.9976359338061466</x:v>
      </x:c>
      <x:c r="L30" s="35" t="n">
        <x:f>IF((G30+H30+I30)=0,0,G30/(G30+H30+I30))</x:f>
        <x:v>0.9768518518518519</x:v>
      </x:c>
      <x:c r="M30" s="35" t="n">
        <x:f>IF((2*G30+H30+I30)=0,0,2*G30/(2*G30+H30+I30))</x:f>
        <x:v>0.9882903981264637</x:v>
      </x:c>
    </x:row>
  </x:sheetData>
  <x:mergeCells>
    <x:mergeCell ref="A1:M1"/>
    <x:mergeCell ref="A2:M2"/>
  </x:mergeCells>
  <x:conditionalFormatting sqref="J5:M30">
    <x:cfRule type="colorScale" priority="1">
      <x:colorScale>
        <x:cfvo type="min"/>
        <x:cfvo type="percentile" val="50"/>
        <x:cfvo type="max"/>
        <x:color rgb="FFF8D7DA"/>
        <x:color rgb="FFFFF3CD"/>
        <x:color rgb="FFD9EED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3.75" hidden="0" customWidth="1"/>
    <x:col min="3" max="3" width="75" hidden="0" customWidth="1"/>
    <x:col min="4" max="4" width="42.5" hidden="0" customWidth="1"/>
  </x:cols>
  <x:sheetData>
    <x:row r="1" ht="19.200000762939453" hidden="0" customHeight="1">
      <x:c r="A1" s="4" t="str">
        <x:v>Definitions and reproducibility metadata</x:v>
      </x:c>
      <x:c r="B1" s="4" t="str">
        <x:v>Definitions and reproducibility metadata</x:v>
      </x:c>
      <x:c r="C1" s="4" t="str">
        <x:v>Definitions and reproducibility metadata</x:v>
      </x:c>
      <x:c r="D1" s="4" t="str">
        <x:v>Definitions and reproducibility metadata</x:v>
      </x:c>
    </x:row>
    <x:row r="2"/>
    <x:row r="3" ht="15" hidden="0" customHeight="1">
      <x:c r="A3" s="26" t="str">
        <x:v>Category</x:v>
      </x:c>
      <x:c r="B3" s="27" t="str">
        <x:v>Item</x:v>
      </x:c>
      <x:c r="C3" s="27" t="str">
        <x:v>Definition / value</x:v>
      </x:c>
      <x:c r="D3" s="27" t="str">
        <x:v>Audit note</x:v>
      </x:c>
    </x:row>
    <x:row r="4" ht="15" hidden="0" customHeight="1">
      <x:c r="A4" s="113" t="str">
        <x:v>Metric</x:v>
      </x:c>
      <x:c r="B4" s="114" t="str">
        <x:v>Sensitivity</x:v>
      </x:c>
      <x:c r="C4" s="114" t="str">
        <x:v>Concordant / direct-route unique variants</x:v>
      </x:c>
      <x:c r="D4" s="114" t="str">
        <x:v>Called reference recovery in software output</x:v>
      </x:c>
    </x:row>
    <x:row r="5" ht="15" hidden="0" customHeight="1">
      <x:c r="A5" s="113" t="str">
        <x:v>Metric</x:v>
      </x:c>
      <x:c r="B5" s="114" t="str">
        <x:v>PPV</x:v>
      </x:c>
      <x:c r="C5" s="114" t="str">
        <x:v>Concordant / report-route unique variants</x:v>
      </x:c>
      <x:c r="D5" s="114" t="str">
        <x:v>Positive predictive value of report-HGVS route</x:v>
      </x:c>
    </x:row>
    <x:row r="6" ht="15" hidden="0" customHeight="1">
      <x:c r="A6" s="113" t="str">
        <x:v>Metric</x:v>
      </x:c>
      <x:c r="B6" s="114" t="str">
        <x:v>Jaccard agreement</x:v>
      </x:c>
      <x:c r="C6" s="114" t="str">
        <x:v>Intersection / union</x:v>
      </x:c>
      <x:c r="D6" s="114" t="str">
        <x:v>Concordant / (concordant + direct-only + report-only)</x:v>
      </x:c>
    </x:row>
    <x:row r="7" ht="15" hidden="0" customHeight="1">
      <x:c r="A7" s="113" t="str">
        <x:v>Metric</x:v>
      </x:c>
      <x:c r="B7" s="114" t="str">
        <x:v>F1</x:v>
      </x:c>
      <x:c r="C7" s="114" t="str">
        <x:v>2 × concordant / (2 × concordant + direct-only + report-only)</x:v>
      </x:c>
      <x:c r="D7" s="114" t="str">
        <x:v>Harmonic agreement score</x:v>
      </x:c>
    </x:row>
    <x:row r="8" ht="15" hidden="0" customHeight="1">
      <x:c r="A8" s="113" t="str">
        <x:v>Analysis set</x:v>
      </x:c>
      <x:c r="B8" s="114" t="str">
        <x:v>All-input variants</x:v>
      </x:c>
      <x:c r="C8" s="114" t="str">
        <x:v>All normalized direct-route unique variants</x:v>
      </x:c>
      <x:c r="D8" s="114" t="str">
        <x:v>Includes 475 records with no reconstructable HGVS</x:v>
      </x:c>
    </x:row>
    <x:row r="9" ht="15" hidden="0" customHeight="1">
      <x:c r="A9" s="113" t="str">
        <x:v>Analysis set</x:v>
      </x:c>
      <x:c r="B9" s="114" t="str">
        <x:v>HGVS-evaluable subset</x:v>
      </x:c>
      <x:c r="C9" s="114" t="str">
        <x:v>Direct-route variants with nonempty HGVSc, HGVSp, or HGVSp_Short</x:v>
      </x:c>
      <x:c r="D9" s="114" t="str">
        <x:v>Primary cross-route performance denominator</x:v>
      </x:c>
    </x:row>
    <x:row r="10" ht="15" hidden="0" customHeight="1">
      <x:c r="A10" s="113" t="str">
        <x:v>Variant key</x:v>
      </x:c>
      <x:c r="B10" s="114" t="str">
        <x:v>Unique sample-aware allele</x:v>
      </x:c>
      <x:c r="C10" s="114" t="str">
        <x:v>Sample + chromosome + normalized VCF POS + REF + ALT</x:v>
      </x:c>
      <x:c r="D10" s="114" t="str">
        <x:v>chr prefix ignored; duplicates removed</x:v>
      </x:c>
    </x:row>
    <x:row r="11" ht="15" hidden="0" customHeight="1">
      <x:c r="A11" s="113" t="str">
        <x:v>Normalization</x:v>
      </x:c>
      <x:c r="B11" s="114" t="str">
        <x:v>Canonicalization</x:v>
      </x:c>
      <x:c r="C11" s="114" t="str">
        <x:v>Multiallelic split + FASTA REF validation + bcftools left normalization</x:v>
      </x:c>
      <x:c r="D11" s="114" t="str">
        <x:v>GRCh37 historical validation reference</x:v>
      </x:c>
    </x:row>
    <x:row r="12" ht="15" hidden="0" customHeight="1">
      <x:c r="A12" s="113" t="str">
        <x:v>Fixtures</x:v>
      </x:c>
      <x:c r="B12" s="114" t="str">
        <x:v>N = 12</x:v>
      </x:c>
      <x:c r="C12" s="114" t="str">
        <x:v>Technical caller/file-route/genome-build conditions</x:v>
      </x:c>
      <x:c r="D12" s="114" t="str">
        <x:v>Not patients and not an estimate of clinical sensitivity</x:v>
      </x:c>
    </x:row>
    <x:row r="13" ht="15" hidden="0" customHeight="1">
      <x:c r="A13" s="113" t="str">
        <x:v>Test suite</x:v>
      </x:c>
      <x:c r="B13" s="114" t="str">
        <x:v>Automated verification</x:v>
      </x:c>
      <x:c r="C13" s="114" t="str">
        <x:v>63 passed; 80.99% line coverage</x:v>
      </x:c>
      <x:c r="D13" s="114" t="str">
        <x:v>Linux core container, non-root UID 10001</x:v>
      </x:c>
    </x:row>
    <x:row r="14" ht="15" hidden="0" customHeight="1">
      <x:c r="A14" s="113" t="str">
        <x:v>Pinned tool</x:v>
      </x:c>
      <x:c r="B14" s="114" t="str">
        <x:v>bcftools / SAMtools</x:v>
      </x:c>
      <x:c r="C14" s="114" t="str">
        <x:v>1.13 / 1.13</x:v>
      </x:c>
      <x:c r="D14" s="114" t="str">
        <x:v>Container version</x:v>
      </x:c>
    </x:row>
    <x:row r="15" ht="15" hidden="0" customHeight="1">
      <x:c r="A15" s="113" t="str">
        <x:v>Pinned tool</x:v>
      </x:c>
      <x:c r="B15" s="114" t="str">
        <x:v>Ensembl VEP</x:v>
      </x:c>
      <x:c r="C15" s="114" t="str">
        <x:v>116.1</x:v>
      </x:c>
      <x:c r="D15" s="114" t="str">
        <x:v>Full container version</x:v>
      </x:c>
    </x:row>
    <x:row r="16" ht="15" hidden="0" customHeight="1">
      <x:c r="A16" s="113" t="str">
        <x:v>Pinned tool</x:v>
      </x:c>
      <x:c r="B16" s="114" t="str">
        <x:v>Picard</x:v>
      </x:c>
      <x:c r="C16" s="114" t="str">
        <x:v>3.1.1</x:v>
      </x:c>
      <x:c r="D16" s="114" t="str">
        <x:v>Full container version</x:v>
      </x:c>
    </x:row>
    <x:row r="17" ht="15" hidden="0" customHeight="1">
      <x:c r="A17" s="113" t="str">
        <x:v>Pinned tool</x:v>
      </x:c>
      <x:c r="B17" s="114" t="str">
        <x:v>vcf2maf</x:v>
      </x:c>
      <x:c r="C17" s="114" t="str">
        <x:v>754d68ab4ad3eba29199c5a62e0061745aed7e7e</x:v>
      </x:c>
      <x:c r="D17" s="114" t="str">
        <x:v>Git commit</x:v>
      </x:c>
    </x:row>
    <x:row r="18" ht="15" hidden="0" customHeight="1">
      <x:c r="A18" s="113" t="str">
        <x:v>Source</x:v>
      </x:c>
      <x:c r="B18" s="114" t="str">
        <x:v>Code and synthetic fixtures</x:v>
      </x:c>
      <x:c r="C18" s="114" t="str">
        <x:v>https://github.com/NCDCbioinformatics/cure-ngs-panel-harmonization-framework</x:v>
      </x:c>
      <x:c r="D18" s="114" t="str">
        <x:v>Public revision repository</x:v>
      </x:c>
    </x:row>
    <x:row r="19" ht="15" hidden="0" customHeight="1">
      <x:c r="A19" s="115" t="str">
        <x:v>Source</x:v>
      </x:c>
      <x:c r="B19" s="116" t="str">
        <x:v>Technical validation</x:v>
      </x:c>
      <x:c r="C19" s="116" t="str">
        <x:v>Controlled technical benchmark; aggregate metrics reported here</x:v>
      </x:c>
      <x:c r="D19" s="116" t="str">
        <x:v>No patient-level data in this workbook</x:v>
      </x:c>
    </x:row>
  </x:sheetData>
  <x:mergeCells>
    <x:mergeCell ref="A1:D1"/>
  </x:mergeCells>
  <x:pageMargins left="0.7" right="0.7" top="0.75" bottom="0.75" header="0.3" footer="0.3"/>
</x:worksheet>
</file>